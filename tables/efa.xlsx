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29B01536-BAEA-4079-B34B-C4034370726E}" xr6:coauthVersionLast="47" xr6:coauthVersionMax="47" xr10:uidLastSave="{00000000-0000-0000-0000-000000000000}"/>
  <bookViews>
    <workbookView xWindow="1740" yWindow="2220" windowWidth="24195" windowHeight="11265" activeTab="5" xr2:uid="{00000000-000D-0000-FFFF-FFFF00000000}"/>
  </bookViews>
  <sheets>
    <sheet name="EFA_3" sheetId="1" r:id="rId1"/>
    <sheet name="efa 3 descriptives" sheetId="2" r:id="rId2"/>
    <sheet name="correlations" sheetId="3" r:id="rId3"/>
    <sheet name="omibus" sheetId="4" r:id="rId4"/>
    <sheet name="emmeans" sheetId="5" r:id="rId5"/>
    <sheet name="pairwise" sheetId="6" r:id="rId6"/>
    <sheet name="Figur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2" i="5"/>
</calcChain>
</file>

<file path=xl/sharedStrings.xml><?xml version="1.0" encoding="utf-8"?>
<sst xmlns="http://schemas.openxmlformats.org/spreadsheetml/2006/main" count="174" uniqueCount="107">
  <si>
    <t>Item</t>
  </si>
  <si>
    <t>Helpful/Informative Sharing</t>
  </si>
  <si>
    <t>Less Helpful/Lower-Value Sharing</t>
  </si>
  <si>
    <t>Communality</t>
  </si>
  <si>
    <t>I just shared everything.</t>
  </si>
  <si>
    <t>I tried to share very little information.</t>
  </si>
  <si>
    <t>I tried to share as much information as possible.</t>
  </si>
  <si>
    <t>I tried to share information that ruled out more graves.</t>
  </si>
  <si>
    <t>I tried to share information that others likely did not know yet.</t>
  </si>
  <si>
    <t>I tried to share information that ruled out more graves and others did not know.</t>
  </si>
  <si>
    <t>I tried to share information that ruled out more graves and others already knew.</t>
  </si>
  <si>
    <t>I focused more on sharing information that ruled out fewer graves.</t>
  </si>
  <si>
    <t>I focused on sharing information that everyone already had access to.</t>
  </si>
  <si>
    <t>I tried to share information that ruled out fewer graves and others did not know.</t>
  </si>
  <si>
    <t>I tried to share information that ruled out fewer graves and others already knew.</t>
  </si>
  <si>
    <t>Scale</t>
  </si>
  <si>
    <t>n</t>
  </si>
  <si>
    <t>k</t>
  </si>
  <si>
    <t>M</t>
  </si>
  <si>
    <t>SD</t>
  </si>
  <si>
    <t>alpha</t>
  </si>
  <si>
    <t>Age</t>
  </si>
  <si>
    <t>Need for Cognition</t>
  </si>
  <si>
    <t>Narcissism</t>
  </si>
  <si>
    <t>Psychopathy</t>
  </si>
  <si>
    <t>Machiavellianism</t>
  </si>
  <si>
    <t>Cooperation</t>
  </si>
  <si>
    <t/>
  </si>
  <si>
    <t>-0.35*</t>
  </si>
  <si>
    <t xml:space="preserve"> 0.02</t>
  </si>
  <si>
    <t xml:space="preserve"> 0.06</t>
  </si>
  <si>
    <t xml:space="preserve"> 0.09</t>
  </si>
  <si>
    <t xml:space="preserve"> 0.12</t>
  </si>
  <si>
    <t>-0.01</t>
  </si>
  <si>
    <t>-0.04</t>
  </si>
  <si>
    <t xml:space="preserve"> 0.05</t>
  </si>
  <si>
    <t>-0.21*</t>
  </si>
  <si>
    <t>-0.06</t>
  </si>
  <si>
    <t>-0.15*</t>
  </si>
  <si>
    <t>-0.03</t>
  </si>
  <si>
    <t xml:space="preserve"> 0.50*</t>
  </si>
  <si>
    <t>-0.18*</t>
  </si>
  <si>
    <t xml:space="preserve"> 0.11</t>
  </si>
  <si>
    <t>-0.09</t>
  </si>
  <si>
    <t xml:space="preserve"> 0.62*</t>
  </si>
  <si>
    <t xml:space="preserve"> 0.63*</t>
  </si>
  <si>
    <t xml:space="preserve"> 0.80*</t>
  </si>
  <si>
    <t>-0.43*</t>
  </si>
  <si>
    <t>-0.10</t>
  </si>
  <si>
    <t>-0.22*</t>
  </si>
  <si>
    <t>-0.23*</t>
  </si>
  <si>
    <t>Outcome</t>
  </si>
  <si>
    <t>Effect</t>
  </si>
  <si>
    <t>df1</t>
  </si>
  <si>
    <t>df2</t>
  </si>
  <si>
    <t>F</t>
  </si>
  <si>
    <t>p</t>
  </si>
  <si>
    <t>partial_eta2</t>
  </si>
  <si>
    <t>Structure</t>
  </si>
  <si>
    <t>2.55</t>
  </si>
  <si>
    <t>.11</t>
  </si>
  <si>
    <t>0.01</t>
  </si>
  <si>
    <t>Motivation</t>
  </si>
  <si>
    <t>7.61</t>
  </si>
  <si>
    <t>&lt; .001**</t>
  </si>
  <si>
    <t>0.06</t>
  </si>
  <si>
    <t>Structure × Motivation</t>
  </si>
  <si>
    <t>0.22</t>
  </si>
  <si>
    <t>.80</t>
  </si>
  <si>
    <t>0.00</t>
  </si>
  <si>
    <t>.93</t>
  </si>
  <si>
    <t>1.74</t>
  </si>
  <si>
    <t>.18</t>
  </si>
  <si>
    <t>0.02</t>
  </si>
  <si>
    <t>1.28</t>
  </si>
  <si>
    <t>.28</t>
  </si>
  <si>
    <t>SE</t>
  </si>
  <si>
    <t>df</t>
  </si>
  <si>
    <t>LL</t>
  </si>
  <si>
    <t>UL</t>
  </si>
  <si>
    <t>Proself</t>
  </si>
  <si>
    <t>2.44</t>
  </si>
  <si>
    <t>0.12</t>
  </si>
  <si>
    <t>2.20</t>
  </si>
  <si>
    <t>2.68</t>
  </si>
  <si>
    <t>Hybrid</t>
  </si>
  <si>
    <t>2.83</t>
  </si>
  <si>
    <t>2.59</t>
  </si>
  <si>
    <t>3.07</t>
  </si>
  <si>
    <t>Prosocial</t>
  </si>
  <si>
    <t>3.11</t>
  </si>
  <si>
    <t>2.87</t>
  </si>
  <si>
    <t>3.35</t>
  </si>
  <si>
    <t>Comparison</t>
  </si>
  <si>
    <t>Estimate</t>
  </si>
  <si>
    <t>t</t>
  </si>
  <si>
    <t>Proself - Hybrid</t>
  </si>
  <si>
    <t>-0.39</t>
  </si>
  <si>
    <t>0.17</t>
  </si>
  <si>
    <t>-2.25</t>
  </si>
  <si>
    <t>.05</t>
  </si>
  <si>
    <t>Proself - Prosocial</t>
  </si>
  <si>
    <t>-0.67</t>
  </si>
  <si>
    <t>-3.89</t>
  </si>
  <si>
    <t>Hybrid - Prosocial</t>
  </si>
  <si>
    <t>-0.28</t>
  </si>
  <si>
    <t>-1.62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</si>
</sst>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2" totalsRowShown="0">
  <autoFilter ref="A1:D12" xr:uid="{00000000-0009-0000-0100-000001000000}"/>
  <tableColumns count="4">
    <tableColumn id="1" xr3:uid="{00000000-0010-0000-0000-000001000000}" name="Item"/>
    <tableColumn id="2" xr3:uid="{00000000-0010-0000-0000-000002000000}" name="Helpful/Informative Sharing"/>
    <tableColumn id="3" xr3:uid="{00000000-0010-0000-0000-000003000000}" name="Less Helpful/Lower-Value Sharing"/>
    <tableColumn id="4" xr3:uid="{00000000-0010-0000-0000-000004000000}" name="Communalit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F3" totalsRowShown="0">
  <autoFilter ref="A1:F3" xr:uid="{00000000-0009-0000-0100-000002000000}"/>
  <tableColumns count="6">
    <tableColumn id="1" xr3:uid="{00000000-0010-0000-0100-000001000000}" name="Scale"/>
    <tableColumn id="2" xr3:uid="{00000000-0010-0000-0100-000002000000}" name="n"/>
    <tableColumn id="3" xr3:uid="{00000000-0010-0000-0100-000003000000}" name="k"/>
    <tableColumn id="4" xr3:uid="{00000000-0010-0000-0100-000004000000}" name="M"/>
    <tableColumn id="5" xr3:uid="{00000000-0010-0000-0100-000005000000}" name="SD"/>
    <tableColumn id="6" xr3:uid="{00000000-0010-0000-0100-000006000000}" name="alph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9" totalsRowShown="0">
  <autoFilter ref="A1:H9" xr:uid="{00000000-0009-0000-0100-000003000000}"/>
  <tableColumns count="8">
    <tableColumn id="1" xr3:uid="{00000000-0010-0000-0200-000001000000}" name="Helpful/Informative Sharing"/>
    <tableColumn id="2" xr3:uid="{00000000-0010-0000-0200-000002000000}" name="Less Helpful/Lower-Value Sharing"/>
    <tableColumn id="3" xr3:uid="{00000000-0010-0000-0200-000003000000}" name="Age"/>
    <tableColumn id="4" xr3:uid="{00000000-0010-0000-0200-000004000000}" name="Need for Cognition"/>
    <tableColumn id="5" xr3:uid="{00000000-0010-0000-0200-000005000000}" name="Narcissism"/>
    <tableColumn id="6" xr3:uid="{00000000-0010-0000-0200-000006000000}" name="Psychopathy"/>
    <tableColumn id="7" xr3:uid="{00000000-0010-0000-0200-000007000000}" name="Machiavellianism"/>
    <tableColumn id="8" xr3:uid="{00000000-0010-0000-0200-000008000000}" name="Coopera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G7" totalsRowShown="0">
  <autoFilter ref="A1:G7" xr:uid="{00000000-0009-0000-0100-000004000000}"/>
  <tableColumns count="7">
    <tableColumn id="1" xr3:uid="{00000000-0010-0000-0300-000001000000}" name="Outcome"/>
    <tableColumn id="2" xr3:uid="{00000000-0010-0000-0300-000002000000}" name="Effect"/>
    <tableColumn id="3" xr3:uid="{00000000-0010-0000-0300-000003000000}" name="df1"/>
    <tableColumn id="4" xr3:uid="{00000000-0010-0000-0300-000004000000}" name="df2"/>
    <tableColumn id="5" xr3:uid="{00000000-0010-0000-0300-000005000000}" name="F"/>
    <tableColumn id="6" xr3:uid="{00000000-0010-0000-0300-000006000000}" name="p"/>
    <tableColumn id="7" xr3:uid="{00000000-0010-0000-0300-000007000000}" name="partial_eta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F4" totalsRowShown="0">
  <autoFilter ref="A1:F4" xr:uid="{00000000-0009-0000-0100-000005000000}"/>
  <tableColumns count="6">
    <tableColumn id="1" xr3:uid="{00000000-0010-0000-0400-000001000000}" name="Motivation"/>
    <tableColumn id="2" xr3:uid="{00000000-0010-0000-0400-000002000000}" name="M"/>
    <tableColumn id="3" xr3:uid="{00000000-0010-0000-0400-000003000000}" name="SE"/>
    <tableColumn id="4" xr3:uid="{00000000-0010-0000-0400-000004000000}" name="df"/>
    <tableColumn id="5" xr3:uid="{00000000-0010-0000-0400-000005000000}" name="LL"/>
    <tableColumn id="6" xr3:uid="{00000000-0010-0000-0400-000006000000}" name="U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F4" totalsRowShown="0">
  <autoFilter ref="A1:F4" xr:uid="{00000000-0009-0000-0100-000006000000}"/>
  <tableColumns count="6">
    <tableColumn id="1" xr3:uid="{00000000-0010-0000-0500-000001000000}" name="Comparison"/>
    <tableColumn id="2" xr3:uid="{00000000-0010-0000-0500-000002000000}" name="Estimate"/>
    <tableColumn id="3" xr3:uid="{00000000-0010-0000-0500-000003000000}" name="SE"/>
    <tableColumn id="4" xr3:uid="{00000000-0010-0000-0500-000004000000}" name="df"/>
    <tableColumn id="5" xr3:uid="{00000000-0010-0000-0500-000005000000}" name="t"/>
    <tableColumn id="6" xr3:uid="{00000000-0010-0000-0500-000006000000}" name="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0.78</v>
      </c>
      <c r="C2" t="e">
        <v>#N/A</v>
      </c>
      <c r="D2">
        <v>0.69</v>
      </c>
    </row>
    <row r="3" spans="1:4" x14ac:dyDescent="0.25">
      <c r="A3" t="s">
        <v>5</v>
      </c>
      <c r="B3">
        <v>-0.74</v>
      </c>
      <c r="C3" t="e">
        <v>#N/A</v>
      </c>
      <c r="D3">
        <v>0.63</v>
      </c>
    </row>
    <row r="4" spans="1:4" x14ac:dyDescent="0.25">
      <c r="A4" t="s">
        <v>6</v>
      </c>
      <c r="B4">
        <v>0.85</v>
      </c>
      <c r="C4" t="e">
        <v>#N/A</v>
      </c>
      <c r="D4">
        <v>0.75</v>
      </c>
    </row>
    <row r="5" spans="1:4" x14ac:dyDescent="0.25">
      <c r="A5" t="s">
        <v>7</v>
      </c>
      <c r="B5">
        <v>0.77</v>
      </c>
      <c r="C5" t="e">
        <v>#N/A</v>
      </c>
      <c r="D5">
        <v>0.64</v>
      </c>
    </row>
    <row r="6" spans="1:4" x14ac:dyDescent="0.25">
      <c r="A6" t="s">
        <v>8</v>
      </c>
      <c r="B6">
        <v>0.84</v>
      </c>
      <c r="C6" t="e">
        <v>#N/A</v>
      </c>
      <c r="D6">
        <v>0.66</v>
      </c>
    </row>
    <row r="7" spans="1:4" x14ac:dyDescent="0.25">
      <c r="A7" t="s">
        <v>9</v>
      </c>
      <c r="B7">
        <v>0.73</v>
      </c>
      <c r="C7" t="e">
        <v>#N/A</v>
      </c>
      <c r="D7">
        <v>0.61</v>
      </c>
    </row>
    <row r="8" spans="1:4" x14ac:dyDescent="0.25">
      <c r="A8" t="s">
        <v>10</v>
      </c>
      <c r="B8">
        <v>0.52</v>
      </c>
      <c r="C8" t="e">
        <v>#N/A</v>
      </c>
      <c r="D8">
        <v>0.23</v>
      </c>
    </row>
    <row r="9" spans="1:4" x14ac:dyDescent="0.25">
      <c r="A9" t="s">
        <v>11</v>
      </c>
      <c r="B9" t="e">
        <v>#N/A</v>
      </c>
      <c r="C9">
        <v>0.67</v>
      </c>
      <c r="D9">
        <v>0.61</v>
      </c>
    </row>
    <row r="10" spans="1:4" x14ac:dyDescent="0.25">
      <c r="A10" t="s">
        <v>12</v>
      </c>
      <c r="B10" t="e">
        <v>#N/A</v>
      </c>
      <c r="C10">
        <v>0.44</v>
      </c>
      <c r="D10">
        <v>0.19</v>
      </c>
    </row>
    <row r="11" spans="1:4" x14ac:dyDescent="0.25">
      <c r="A11" t="s">
        <v>13</v>
      </c>
      <c r="B11" t="e">
        <v>#N/A</v>
      </c>
      <c r="C11">
        <v>0.72</v>
      </c>
      <c r="D11">
        <v>0.49</v>
      </c>
    </row>
    <row r="12" spans="1:4" x14ac:dyDescent="0.25">
      <c r="A12" t="s">
        <v>14</v>
      </c>
      <c r="B12" t="e">
        <v>#N/A</v>
      </c>
      <c r="C12">
        <v>0.82</v>
      </c>
      <c r="D12">
        <v>0.63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5" x14ac:dyDescent="0.2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1</v>
      </c>
      <c r="B2">
        <v>228</v>
      </c>
      <c r="C2">
        <v>7</v>
      </c>
      <c r="D2">
        <v>2.8</v>
      </c>
      <c r="E2">
        <v>1.0900000000000001</v>
      </c>
      <c r="F2">
        <v>0.87</v>
      </c>
    </row>
    <row r="3" spans="1:6" x14ac:dyDescent="0.25">
      <c r="A3" t="s">
        <v>2</v>
      </c>
      <c r="B3">
        <v>228</v>
      </c>
      <c r="C3">
        <v>4</v>
      </c>
      <c r="D3">
        <v>3.24</v>
      </c>
      <c r="E3">
        <v>1.03</v>
      </c>
      <c r="F3">
        <v>0.71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5" x14ac:dyDescent="0.25"/>
  <sheetData>
    <row r="1" spans="1:8" x14ac:dyDescent="0.25">
      <c r="A1" t="s">
        <v>1</v>
      </c>
      <c r="B1" t="s">
        <v>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 t="s">
        <v>27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</row>
    <row r="3" spans="1:8" x14ac:dyDescent="0.25">
      <c r="A3" t="s">
        <v>28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</row>
    <row r="4" spans="1:8" x14ac:dyDescent="0.25">
      <c r="A4" t="s">
        <v>29</v>
      </c>
      <c r="B4" t="s">
        <v>30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</row>
    <row r="5" spans="1:8" x14ac:dyDescent="0.25">
      <c r="A5" t="s">
        <v>31</v>
      </c>
      <c r="B5" t="s">
        <v>32</v>
      </c>
      <c r="C5" t="s">
        <v>33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</row>
    <row r="6" spans="1:8" x14ac:dyDescent="0.25">
      <c r="A6" t="s">
        <v>34</v>
      </c>
      <c r="B6" t="s">
        <v>35</v>
      </c>
      <c r="C6" t="s">
        <v>36</v>
      </c>
      <c r="D6" t="s">
        <v>37</v>
      </c>
      <c r="E6" t="s">
        <v>27</v>
      </c>
      <c r="F6" t="s">
        <v>27</v>
      </c>
      <c r="G6" t="s">
        <v>27</v>
      </c>
      <c r="H6" t="s">
        <v>27</v>
      </c>
    </row>
    <row r="7" spans="1:8" x14ac:dyDescent="0.25">
      <c r="A7" t="s">
        <v>38</v>
      </c>
      <c r="B7" t="s">
        <v>30</v>
      </c>
      <c r="C7" t="s">
        <v>39</v>
      </c>
      <c r="D7" t="s">
        <v>38</v>
      </c>
      <c r="E7" t="s">
        <v>40</v>
      </c>
      <c r="F7" t="s">
        <v>27</v>
      </c>
      <c r="G7" t="s">
        <v>27</v>
      </c>
      <c r="H7" t="s">
        <v>27</v>
      </c>
    </row>
    <row r="8" spans="1:8" x14ac:dyDescent="0.25">
      <c r="A8" t="s">
        <v>41</v>
      </c>
      <c r="B8" t="s">
        <v>42</v>
      </c>
      <c r="C8" t="s">
        <v>43</v>
      </c>
      <c r="D8" t="s">
        <v>43</v>
      </c>
      <c r="E8" t="s">
        <v>44</v>
      </c>
      <c r="F8" t="s">
        <v>45</v>
      </c>
      <c r="G8" t="s">
        <v>27</v>
      </c>
      <c r="H8" t="s">
        <v>27</v>
      </c>
    </row>
    <row r="9" spans="1:8" x14ac:dyDescent="0.25">
      <c r="A9" t="s">
        <v>46</v>
      </c>
      <c r="B9" t="s">
        <v>47</v>
      </c>
      <c r="C9" t="s">
        <v>34</v>
      </c>
      <c r="D9" t="s">
        <v>29</v>
      </c>
      <c r="E9" t="s">
        <v>48</v>
      </c>
      <c r="F9" t="s">
        <v>49</v>
      </c>
      <c r="G9" t="s">
        <v>50</v>
      </c>
      <c r="H9" t="s">
        <v>27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5" x14ac:dyDescent="0.25"/>
  <sheetData>
    <row r="1" spans="1:7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25">
      <c r="A2" t="s">
        <v>1</v>
      </c>
      <c r="B2" t="s">
        <v>58</v>
      </c>
      <c r="C2">
        <v>1</v>
      </c>
      <c r="D2">
        <v>222</v>
      </c>
      <c r="E2" t="s">
        <v>59</v>
      </c>
      <c r="F2" t="s">
        <v>60</v>
      </c>
      <c r="G2" t="s">
        <v>61</v>
      </c>
    </row>
    <row r="3" spans="1:7" x14ac:dyDescent="0.25">
      <c r="A3" t="s">
        <v>1</v>
      </c>
      <c r="B3" t="s">
        <v>62</v>
      </c>
      <c r="C3">
        <v>2</v>
      </c>
      <c r="D3">
        <v>222</v>
      </c>
      <c r="E3" t="s">
        <v>63</v>
      </c>
      <c r="F3" t="s">
        <v>64</v>
      </c>
      <c r="G3" t="s">
        <v>65</v>
      </c>
    </row>
    <row r="4" spans="1:7" x14ac:dyDescent="0.25">
      <c r="A4" t="s">
        <v>1</v>
      </c>
      <c r="B4" t="s">
        <v>66</v>
      </c>
      <c r="C4">
        <v>2</v>
      </c>
      <c r="D4">
        <v>222</v>
      </c>
      <c r="E4" t="s">
        <v>67</v>
      </c>
      <c r="F4" t="s">
        <v>68</v>
      </c>
      <c r="G4" t="s">
        <v>69</v>
      </c>
    </row>
    <row r="5" spans="1:7" x14ac:dyDescent="0.25">
      <c r="A5" t="s">
        <v>2</v>
      </c>
      <c r="B5" t="s">
        <v>58</v>
      </c>
      <c r="C5">
        <v>1</v>
      </c>
      <c r="D5">
        <v>222</v>
      </c>
      <c r="E5" t="s">
        <v>61</v>
      </c>
      <c r="F5" t="s">
        <v>70</v>
      </c>
      <c r="G5" t="s">
        <v>69</v>
      </c>
    </row>
    <row r="6" spans="1:7" x14ac:dyDescent="0.25">
      <c r="A6" t="s">
        <v>2</v>
      </c>
      <c r="B6" t="s">
        <v>62</v>
      </c>
      <c r="C6">
        <v>2</v>
      </c>
      <c r="D6">
        <v>222</v>
      </c>
      <c r="E6" t="s">
        <v>71</v>
      </c>
      <c r="F6" t="s">
        <v>72</v>
      </c>
      <c r="G6" t="s">
        <v>73</v>
      </c>
    </row>
    <row r="7" spans="1:7" x14ac:dyDescent="0.25">
      <c r="A7" t="s">
        <v>2</v>
      </c>
      <c r="B7" t="s">
        <v>66</v>
      </c>
      <c r="C7">
        <v>2</v>
      </c>
      <c r="D7">
        <v>222</v>
      </c>
      <c r="E7" t="s">
        <v>74</v>
      </c>
      <c r="F7" t="s">
        <v>75</v>
      </c>
      <c r="G7" t="s">
        <v>61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>
      <selection activeCell="B2" sqref="B2:H4"/>
    </sheetView>
  </sheetViews>
  <sheetFormatPr defaultRowHeight="15" x14ac:dyDescent="0.25"/>
  <cols>
    <col min="4" max="7" width="0" hidden="1" customWidth="1"/>
  </cols>
  <sheetData>
    <row r="1" spans="1:8" x14ac:dyDescent="0.25">
      <c r="A1" t="s">
        <v>62</v>
      </c>
      <c r="B1" t="s">
        <v>18</v>
      </c>
      <c r="C1" t="s">
        <v>76</v>
      </c>
      <c r="D1" t="s">
        <v>77</v>
      </c>
      <c r="E1" t="s">
        <v>78</v>
      </c>
      <c r="F1" t="s">
        <v>79</v>
      </c>
    </row>
    <row r="2" spans="1:8" x14ac:dyDescent="0.25">
      <c r="A2" t="s">
        <v>80</v>
      </c>
      <c r="B2" t="s">
        <v>81</v>
      </c>
      <c r="C2" t="s">
        <v>82</v>
      </c>
      <c r="D2">
        <v>222</v>
      </c>
      <c r="E2" t="s">
        <v>83</v>
      </c>
      <c r="F2" t="s">
        <v>84</v>
      </c>
      <c r="H2" t="str">
        <f>"["&amp;Table5[[#This Row],[LL]]&amp;", "&amp;Table5[[#This Row],[UL]]&amp;"]"</f>
        <v>[2.20, 2.68]</v>
      </c>
    </row>
    <row r="3" spans="1:8" x14ac:dyDescent="0.25">
      <c r="A3" t="s">
        <v>85</v>
      </c>
      <c r="B3" t="s">
        <v>86</v>
      </c>
      <c r="C3" t="s">
        <v>82</v>
      </c>
      <c r="D3">
        <v>222</v>
      </c>
      <c r="E3" t="s">
        <v>87</v>
      </c>
      <c r="F3" t="s">
        <v>88</v>
      </c>
      <c r="H3" t="str">
        <f>"["&amp;Table5[[#This Row],[LL]]&amp;", "&amp;Table5[[#This Row],[UL]]&amp;"]"</f>
        <v>[2.59, 3.07]</v>
      </c>
    </row>
    <row r="4" spans="1:8" x14ac:dyDescent="0.25">
      <c r="A4" t="s">
        <v>89</v>
      </c>
      <c r="B4" t="s">
        <v>90</v>
      </c>
      <c r="C4" t="s">
        <v>82</v>
      </c>
      <c r="D4">
        <v>222</v>
      </c>
      <c r="E4" t="s">
        <v>91</v>
      </c>
      <c r="F4" t="s">
        <v>92</v>
      </c>
      <c r="H4" t="str">
        <f>"["&amp;Table5[[#This Row],[LL]]&amp;", "&amp;Table5[[#This Row],[UL]]&amp;"]"</f>
        <v>[2.87, 3.35]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tabSelected="1" workbookViewId="0">
      <selection activeCell="V12" sqref="V12"/>
    </sheetView>
  </sheetViews>
  <sheetFormatPr defaultRowHeight="15" x14ac:dyDescent="0.25"/>
  <cols>
    <col min="1" max="1" width="25" customWidth="1"/>
    <col min="4" max="4" width="0" hidden="1" customWidth="1"/>
  </cols>
  <sheetData>
    <row r="1" spans="1:6" x14ac:dyDescent="0.25">
      <c r="A1" t="s">
        <v>93</v>
      </c>
      <c r="B1" t="s">
        <v>94</v>
      </c>
      <c r="C1" t="s">
        <v>76</v>
      </c>
      <c r="D1" t="s">
        <v>77</v>
      </c>
      <c r="E1" t="s">
        <v>95</v>
      </c>
      <c r="F1" t="s">
        <v>56</v>
      </c>
    </row>
    <row r="2" spans="1:6" x14ac:dyDescent="0.25">
      <c r="A2" t="s">
        <v>96</v>
      </c>
      <c r="B2" t="s">
        <v>97</v>
      </c>
      <c r="C2" t="s">
        <v>98</v>
      </c>
      <c r="D2">
        <v>222</v>
      </c>
      <c r="E2" t="s">
        <v>99</v>
      </c>
      <c r="F2" t="s">
        <v>100</v>
      </c>
    </row>
    <row r="3" spans="1:6" x14ac:dyDescent="0.25">
      <c r="A3" t="s">
        <v>101</v>
      </c>
      <c r="B3" t="s">
        <v>102</v>
      </c>
      <c r="C3" t="s">
        <v>98</v>
      </c>
      <c r="D3">
        <v>222</v>
      </c>
      <c r="E3" t="s">
        <v>103</v>
      </c>
      <c r="F3" t="s">
        <v>64</v>
      </c>
    </row>
    <row r="4" spans="1:6" x14ac:dyDescent="0.25">
      <c r="A4" t="s">
        <v>104</v>
      </c>
      <c r="B4" t="s">
        <v>105</v>
      </c>
      <c r="C4" t="s">
        <v>98</v>
      </c>
      <c r="D4">
        <v>222</v>
      </c>
      <c r="E4" t="s">
        <v>106</v>
      </c>
      <c r="F4" t="s">
        <v>60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rintOptions gridLines="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EFA_3</vt:lpstr>
      <vt:lpstr>efa 3 descriptives</vt:lpstr>
      <vt:lpstr>correlations</vt:lpstr>
      <vt:lpstr>omibus</vt:lpstr>
      <vt:lpstr>emmeans</vt:lpstr>
      <vt:lpstr>pairwise</vt:lpstr>
      <vt:lpstr>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sarst</dc:creator>
  <cp:lastModifiedBy>Sarah Stegall-Rodriguez</cp:lastModifiedBy>
  <dcterms:created xsi:type="dcterms:W3CDTF">2026-10-14T06:23:28Z</dcterms:created>
  <dcterms:modified xsi:type="dcterms:W3CDTF">2026-10-14T06:26:11Z</dcterms:modified>
</cp:coreProperties>
</file>